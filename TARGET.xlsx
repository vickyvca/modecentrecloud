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KAP SETORAN &amp; GAJI PEGAWAI\"/>
    </mc:Choice>
  </mc:AlternateContent>
  <xr:revisionPtr revIDLastSave="0" documentId="13_ncr:1_{C7C55234-5FB7-4090-BEB8-CA7D9E4182ED}" xr6:coauthVersionLast="47" xr6:coauthVersionMax="47" xr10:uidLastSave="{00000000-0000-0000-0000-000000000000}"/>
  <bookViews>
    <workbookView xWindow="-120" yWindow="-120" windowWidth="29040" windowHeight="15720" xr2:uid="{197F0542-F0C5-43CE-A06D-78E8BC5BAB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B25" i="1"/>
  <c r="E21" i="1"/>
  <c r="E32" i="1" s="1"/>
  <c r="E20" i="1"/>
  <c r="E31" i="1" s="1"/>
  <c r="E19" i="1"/>
  <c r="E30" i="1" s="1"/>
  <c r="E18" i="1"/>
  <c r="E29" i="1" s="1"/>
  <c r="E17" i="1"/>
  <c r="E28" i="1" s="1"/>
  <c r="E16" i="1"/>
  <c r="E27" i="1" s="1"/>
  <c r="E15" i="1"/>
  <c r="E26" i="1" s="1"/>
  <c r="E14" i="1"/>
  <c r="E25" i="1" s="1"/>
  <c r="D21" i="1"/>
  <c r="D32" i="1" s="1"/>
  <c r="D20" i="1"/>
  <c r="D31" i="1" s="1"/>
  <c r="D19" i="1"/>
  <c r="D30" i="1" s="1"/>
  <c r="D18" i="1"/>
  <c r="D29" i="1" s="1"/>
  <c r="D17" i="1"/>
  <c r="D28" i="1" s="1"/>
  <c r="D16" i="1"/>
  <c r="D27" i="1" s="1"/>
  <c r="D15" i="1"/>
  <c r="D26" i="1" s="1"/>
  <c r="D14" i="1"/>
  <c r="D25" i="1" s="1"/>
  <c r="C21" i="1"/>
  <c r="C32" i="1" s="1"/>
  <c r="C20" i="1"/>
  <c r="C31" i="1" s="1"/>
  <c r="C19" i="1"/>
  <c r="C30" i="1" s="1"/>
  <c r="C18" i="1"/>
  <c r="C29" i="1" s="1"/>
  <c r="C17" i="1"/>
  <c r="C28" i="1" s="1"/>
  <c r="C16" i="1"/>
  <c r="C27" i="1" s="1"/>
  <c r="C15" i="1"/>
  <c r="C26" i="1" s="1"/>
  <c r="C14" i="1"/>
  <c r="C25" i="1" s="1"/>
  <c r="B21" i="1"/>
  <c r="B32" i="1" s="1"/>
  <c r="B20" i="1"/>
  <c r="B31" i="1" s="1"/>
  <c r="B19" i="1"/>
  <c r="B30" i="1" s="1"/>
  <c r="B18" i="1"/>
  <c r="B29" i="1" s="1"/>
  <c r="B17" i="1"/>
  <c r="B28" i="1" s="1"/>
  <c r="B16" i="1"/>
  <c r="B15" i="1"/>
  <c r="B26" i="1" s="1"/>
  <c r="B14" i="1"/>
</calcChain>
</file>

<file path=xl/sharedStrings.xml><?xml version="1.0" encoding="utf-8"?>
<sst xmlns="http://schemas.openxmlformats.org/spreadsheetml/2006/main" count="52" uniqueCount="30">
  <si>
    <t>BULAN</t>
  </si>
  <si>
    <t>TARGET 5</t>
  </si>
  <si>
    <t>TARGET 10</t>
  </si>
  <si>
    <t>TARGET 15</t>
  </si>
  <si>
    <t>TARGET 20</t>
  </si>
  <si>
    <t>JUMLAH SPG</t>
  </si>
  <si>
    <t>BONUS 5</t>
  </si>
  <si>
    <t>BONUS 10</t>
  </si>
  <si>
    <t>BONUS 15</t>
  </si>
  <si>
    <t>BONUS 20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</si>
  <si>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</si>
  <si>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</si>
  <si>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</si>
  <si>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</si>
  <si>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</si>
  <si>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</si>
  <si>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</si>
  <si>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</si>
  <si>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TARGET PENJUALAN 2025</t>
  </si>
  <si>
    <t>TARGET PERORANGAN</t>
  </si>
  <si>
    <t>CONTOH PERHITUNGAN</t>
  </si>
  <si>
    <t>KETENTUAN</t>
  </si>
  <si>
    <t>% BONUS</t>
  </si>
  <si>
    <t>MAKA BONUS CAIR UNTUK YANG MENCAPAI TARGET SAJA</t>
  </si>
  <si>
    <r>
      <t xml:space="preserve">2. PEMBERIAN </t>
    </r>
    <r>
      <rPr>
        <b/>
        <sz val="11"/>
        <color theme="1"/>
        <rFont val="Calibri"/>
        <family val="2"/>
        <scheme val="minor"/>
      </rPr>
      <t>BONUS</t>
    </r>
    <r>
      <rPr>
        <sz val="11"/>
        <color theme="1"/>
        <rFont val="Calibri"/>
        <family val="2"/>
        <scheme val="minor"/>
      </rPr>
      <t xml:space="preserve"> DITENTUKAN JIKA </t>
    </r>
    <r>
      <rPr>
        <b/>
        <sz val="11"/>
        <color theme="1"/>
        <rFont val="Calibri"/>
        <family val="2"/>
        <scheme val="minor"/>
      </rPr>
      <t>SALAH SATU</t>
    </r>
    <r>
      <rPr>
        <sz val="11"/>
        <color theme="1"/>
        <rFont val="Calibri"/>
        <family val="2"/>
        <scheme val="minor"/>
      </rPr>
      <t xml:space="preserve"> TARGET TERCAPAI</t>
    </r>
  </si>
  <si>
    <r>
      <t xml:space="preserve">3. JIKA </t>
    </r>
    <r>
      <rPr>
        <b/>
        <sz val="11"/>
        <color theme="1"/>
        <rFont val="Calibri"/>
        <family val="2"/>
        <scheme val="minor"/>
      </rPr>
      <t>TARGET PERORANGAN</t>
    </r>
    <r>
      <rPr>
        <sz val="11"/>
        <color theme="1"/>
        <rFont val="Calibri"/>
        <family val="2"/>
        <scheme val="minor"/>
      </rPr>
      <t xml:space="preserve"> TERCAPAI TETAPI TARGET TEAM </t>
    </r>
    <r>
      <rPr>
        <b/>
        <sz val="11"/>
        <color theme="1"/>
        <rFont val="Calibri"/>
        <family val="2"/>
        <scheme val="minor"/>
      </rPr>
      <t xml:space="preserve">TIDAK </t>
    </r>
  </si>
  <si>
    <r>
      <t xml:space="preserve">4. JIKA </t>
    </r>
    <r>
      <rPr>
        <b/>
        <sz val="11"/>
        <color theme="1"/>
        <rFont val="Calibri"/>
        <family val="2"/>
        <scheme val="minor"/>
      </rPr>
      <t>TARGET TEAM</t>
    </r>
    <r>
      <rPr>
        <sz val="11"/>
        <color theme="1"/>
        <rFont val="Calibri"/>
        <family val="2"/>
        <scheme val="minor"/>
      </rPr>
      <t xml:space="preserve"> TERCAPAI MAKA </t>
    </r>
    <r>
      <rPr>
        <b/>
        <sz val="11"/>
        <color theme="1"/>
        <rFont val="Calibri"/>
        <family val="2"/>
        <scheme val="minor"/>
      </rPr>
      <t xml:space="preserve">BONUS </t>
    </r>
    <r>
      <rPr>
        <sz val="11"/>
        <color theme="1"/>
        <rFont val="Calibri"/>
        <family val="2"/>
        <scheme val="minor"/>
      </rPr>
      <t>DIBERIKAN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TEAM</t>
    </r>
    <r>
      <rPr>
        <b/>
        <sz val="11"/>
        <color theme="1"/>
        <rFont val="Calibri"/>
        <family val="2"/>
        <scheme val="minor"/>
      </rPr>
      <t xml:space="preserve"> SAMA RATA</t>
    </r>
  </si>
  <si>
    <r>
      <t xml:space="preserve">5. BONUS </t>
    </r>
    <r>
      <rPr>
        <b/>
        <sz val="11"/>
        <color theme="1"/>
        <rFont val="Calibri"/>
        <family val="2"/>
        <scheme val="minor"/>
      </rPr>
      <t>TIDAK DI AKUMULASI</t>
    </r>
    <r>
      <rPr>
        <sz val="11"/>
        <color theme="1"/>
        <rFont val="Calibri"/>
        <family val="2"/>
        <scheme val="minor"/>
      </rPr>
      <t xml:space="preserve"> ( HANYA </t>
    </r>
    <r>
      <rPr>
        <b/>
        <sz val="11"/>
        <color theme="1"/>
        <rFont val="Calibri"/>
        <family val="2"/>
        <scheme val="minor"/>
      </rPr>
      <t>BONUS TERTINGGI</t>
    </r>
    <r>
      <rPr>
        <sz val="11"/>
        <color theme="1"/>
        <rFont val="Calibri"/>
        <family val="2"/>
        <scheme val="minor"/>
      </rPr>
      <t xml:space="preserve"> YANG DIBERIKAN )</t>
    </r>
  </si>
  <si>
    <r>
      <rPr>
        <b/>
        <sz val="11"/>
        <color theme="1"/>
        <rFont val="Calibri"/>
        <family val="2"/>
        <scheme val="minor"/>
      </rPr>
      <t>6. BONUS</t>
    </r>
    <r>
      <rPr>
        <sz val="11"/>
        <color theme="1"/>
        <rFont val="Calibri"/>
        <family val="2"/>
        <scheme val="minor"/>
      </rPr>
      <t xml:space="preserve"> ADALAH </t>
    </r>
    <r>
      <rPr>
        <b/>
        <sz val="11"/>
        <color theme="1"/>
        <rFont val="Calibri"/>
        <family val="2"/>
        <scheme val="minor"/>
      </rPr>
      <t>TAMBAHAN</t>
    </r>
    <r>
      <rPr>
        <sz val="11"/>
        <color theme="1"/>
        <rFont val="Calibri"/>
        <family val="2"/>
        <scheme val="minor"/>
      </rPr>
      <t xml:space="preserve">,DIHITUNG </t>
    </r>
    <r>
      <rPr>
        <b/>
        <sz val="11"/>
        <color theme="1"/>
        <rFont val="Calibri"/>
        <family val="2"/>
        <scheme val="minor"/>
      </rPr>
      <t>DILUAR KOMISI</t>
    </r>
  </si>
  <si>
    <r>
      <t xml:space="preserve">1. TARGET </t>
    </r>
    <r>
      <rPr>
        <b/>
        <sz val="11"/>
        <color theme="1"/>
        <rFont val="Calibri"/>
        <family val="2"/>
        <scheme val="minor"/>
      </rPr>
      <t>PERORANGAN</t>
    </r>
    <r>
      <rPr>
        <sz val="11"/>
        <color theme="1"/>
        <rFont val="Calibri"/>
        <family val="2"/>
        <scheme val="minor"/>
      </rPr>
      <t xml:space="preserve"> DIHITUNG DARI </t>
    </r>
    <r>
      <rPr>
        <b/>
        <sz val="11"/>
        <color theme="1"/>
        <rFont val="Calibri"/>
        <family val="2"/>
        <scheme val="minor"/>
      </rPr>
      <t>TARGET BULANAN</t>
    </r>
    <r>
      <rPr>
        <sz val="11"/>
        <color theme="1"/>
        <rFont val="Calibri"/>
        <family val="2"/>
        <scheme val="minor"/>
      </rPr>
      <t xml:space="preserve"> DIBAGI </t>
    </r>
    <r>
      <rPr>
        <b/>
        <sz val="11"/>
        <color theme="1"/>
        <rFont val="Calibri"/>
        <family val="2"/>
        <scheme val="minor"/>
      </rPr>
      <t>JUMLAH SPG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</si>
</sst>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  <xf numFmtId="41" fontId="0" fillId="0" borderId="0" xfId="1" applyNumberFormat="1" applyFont="1"/>
    <xf numFmtId="41" fontId="0" fillId="0" borderId="0" xfId="0" applyNumberFormat="1"/>
    <xf numFmtId="41" fontId="0" fillId="3" borderId="2" xfId="1" applyNumberFormat="1" applyFont="1" applyFill="1" applyBorder="1"/>
    <xf numFmtId="41" fontId="0" fillId="0" borderId="2" xfId="1" applyNumberFormat="1" applyFont="1" applyBorder="1"/>
    <xf numFmtId="41" fontId="2" fillId="2" borderId="2" xfId="1" applyNumberFormat="1" applyFont="1" applyFill="1" applyBorder="1"/>
    <xf numFmtId="0" fontId="0" fillId="0" borderId="0" xfId="0" applyAlignment="1">
      <alignment horizontal="left" indent="1"/>
    </xf>
    <xf numFmtId="0" fontId="3" fillId="4" borderId="4" xfId="0" applyFont="1" applyFill="1" applyBorder="1"/>
    <xf numFmtId="10" fontId="3" fillId="4" borderId="5" xfId="1" applyNumberFormat="1" applyFont="1" applyFill="1" applyBorder="1"/>
    <xf numFmtId="10" fontId="3" fillId="4" borderId="5" xfId="2" applyNumberFormat="1" applyFont="1" applyFill="1" applyBorder="1"/>
    <xf numFmtId="10" fontId="3" fillId="4" borderId="6" xfId="2" applyNumberFormat="1" applyFont="1" applyFill="1" applyBorder="1"/>
    <xf numFmtId="0" fontId="0" fillId="0" borderId="0" xfId="0" applyAlignment="1">
      <alignment horizontal="left" indent="3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537599-AFCF-4AED-BB23-64B335661565}" name="Table2" displayName="Table2" ref="A2:F10" totalsRowShown="0">
  <autoFilter ref="A2:F10" xr:uid="{57537599-AFCF-4AED-BB23-64B335661565}"/>
  <tableColumns count="6">
    <tableColumn id="1" xr3:uid="{821B671D-203A-451A-A86F-C84F236B2AEC}" name="BULAN"/>
    <tableColumn id="2" xr3:uid="{6A0BA6E0-F51A-4177-BB12-D284BABBA635}" name="TARGET 5" dataDxfId="10" dataCellStyle="Comma"/>
    <tableColumn id="3" xr3:uid="{CAB10D9B-220C-4175-BE81-96A6B3EAED36}" name="TARGET 10" dataDxfId="9" dataCellStyle="Comma"/>
    <tableColumn id="4" xr3:uid="{6DD8A18B-A31C-4023-8D4D-BF30DB3819E8}" name="TARGET 15" dataDxfId="8" dataCellStyle="Comma"/>
    <tableColumn id="5" xr3:uid="{A598C7E3-CDFA-4E0A-9242-C7E8532C41CB}" name="TARGET 20" dataDxfId="7" dataCellStyle="Comma"/>
    <tableColumn id="6" xr3:uid="{7D57B594-DD38-4A49-92D3-975DAC31865D}" name="JUMLAH SPG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8F880C-BD2E-428C-AE34-C4A06F2BCC9F}" name="Table3" displayName="Table3" ref="A24:E33" totalsRowShown="0" headerRowDxfId="5" dataDxfId="4" headerRowCellStyle="Comma" dataCellStyle="Comma">
  <autoFilter ref="A24:E33" xr:uid="{148F880C-BD2E-428C-AE34-C4A06F2BCC9F}"/>
  <tableColumns count="5">
    <tableColumn id="1" xr3:uid="{D4834925-EEF8-4104-87A7-EE290B858903}" name="BULAN"/>
    <tableColumn id="2" xr3:uid="{CE90E18A-F1FC-4A20-8890-147DE624748F}" name="BONUS 5" dataDxfId="3" dataCellStyle="Comma"/>
    <tableColumn id="3" xr3:uid="{CE11B8A7-33AD-4786-BCB7-6AE9E6F9A943}" name="BONUS 10" dataDxfId="2" dataCellStyle="Comma"/>
    <tableColumn id="4" xr3:uid="{FC8D26B9-B8E1-4F26-861F-13062A34BA07}" name="BONUS 15" dataDxfId="1" dataCellStyle="Comma"/>
    <tableColumn id="5" xr3:uid="{CA25B03A-1C77-43BE-818A-B9F16C4E0F4C}" name="BONUS 20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5C2B3-D928-42C6-912C-3070909DF26C}">
  <dimension ref="A1:F42"/>
  <sheetViews>
    <sheetView tabSelected="1" workbookViewId="0">
      <selection activeCell="F5" sqref="F5"/>
    </sheetView>
  </sheetViews>
  <sheetFormatPr defaultRowHeight="15" x14ac:dyDescent="0.25"/>
  <cols>
    <col min="1" max="1" width="11.140625" bestFit="1" customWidth="1"/>
    <col min="2" max="2" width="14.28515625" style="4" bestFit="1" customWidth="1"/>
    <col min="3" max="5" width="14" style="4" bestFit="1" customWidth="1"/>
    <col min="6" max="6" width="14.7109375" bestFit="1" customWidth="1"/>
  </cols>
  <sheetData>
    <row r="1" spans="1:6" x14ac:dyDescent="0.25">
      <c r="A1" s="15" t="s">
        <v>18</v>
      </c>
      <c r="B1" s="15"/>
      <c r="C1" s="15"/>
      <c r="D1" s="15"/>
      <c r="E1" s="15"/>
      <c r="F1" s="15"/>
    </row>
    <row r="2" spans="1:6" x14ac:dyDescent="0.25">
      <c r="A2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t="s">
        <v>5</v>
      </c>
    </row>
    <row r="3" spans="1:6" x14ac:dyDescent="0.25">
      <c r="A3" t="s">
        <v>10</v>
      </c>
      <c r="B3" s="4">
        <v>402413167</v>
      </c>
      <c r="C3" s="4">
        <v>421575698</v>
      </c>
      <c r="D3" s="4">
        <v>440738230</v>
      </c>
      <c r="E3" s="4">
        <v>459900762</v>
      </c>
      <c r="F3" s="5">
        <v>16</v>
      </c>
    </row>
    <row r="4" spans="1:6" x14ac:dyDescent="0.25">
      <c r="A4" t="s">
        <v>11</v>
      </c>
      <c r="B4" s="4">
        <v>389259570</v>
      </c>
      <c r="C4" s="4">
        <v>408385527</v>
      </c>
      <c r="D4" s="4">
        <v>426948505</v>
      </c>
      <c r="E4" s="4">
        <v>445511484</v>
      </c>
      <c r="F4" s="5">
        <v>15</v>
      </c>
    </row>
    <row r="5" spans="1:6" x14ac:dyDescent="0.25">
      <c r="A5" t="s">
        <v>12</v>
      </c>
      <c r="B5" s="4">
        <v>376627550</v>
      </c>
      <c r="C5" s="4">
        <v>394562195</v>
      </c>
      <c r="D5" s="4">
        <v>412496840</v>
      </c>
      <c r="E5" s="4">
        <v>430431486</v>
      </c>
      <c r="F5" s="5">
        <v>16</v>
      </c>
    </row>
    <row r="6" spans="1:6" x14ac:dyDescent="0.25">
      <c r="A6" t="s">
        <v>13</v>
      </c>
      <c r="B6" s="4">
        <v>417779187</v>
      </c>
      <c r="C6" s="4">
        <v>437673434</v>
      </c>
      <c r="D6" s="4">
        <v>457567681</v>
      </c>
      <c r="E6" s="4">
        <v>477461925</v>
      </c>
      <c r="F6" s="5">
        <v>16</v>
      </c>
    </row>
    <row r="7" spans="1:6" x14ac:dyDescent="0.25">
      <c r="A7" t="s">
        <v>14</v>
      </c>
      <c r="B7" s="4">
        <v>377293754</v>
      </c>
      <c r="C7" s="4">
        <v>395260123</v>
      </c>
      <c r="D7" s="4">
        <v>413226492</v>
      </c>
      <c r="E7" s="4">
        <v>431192862</v>
      </c>
      <c r="F7" s="5">
        <v>16</v>
      </c>
    </row>
    <row r="8" spans="1:6" x14ac:dyDescent="0.25">
      <c r="A8" t="s">
        <v>15</v>
      </c>
      <c r="B8" s="4">
        <v>378728064</v>
      </c>
      <c r="C8" s="4">
        <v>396762734</v>
      </c>
      <c r="D8" s="4">
        <v>414797404</v>
      </c>
      <c r="E8" s="4">
        <v>432832074</v>
      </c>
      <c r="F8" s="5">
        <v>16</v>
      </c>
    </row>
    <row r="9" spans="1:6" x14ac:dyDescent="0.25">
      <c r="A9" t="s">
        <v>16</v>
      </c>
      <c r="B9" s="4">
        <v>348302445</v>
      </c>
      <c r="C9" s="4">
        <v>364888276</v>
      </c>
      <c r="D9" s="4">
        <v>381471107</v>
      </c>
      <c r="E9" s="4">
        <v>398059938</v>
      </c>
      <c r="F9" s="5">
        <v>16</v>
      </c>
    </row>
    <row r="10" spans="1:6" x14ac:dyDescent="0.25">
      <c r="A10" t="s">
        <v>17</v>
      </c>
      <c r="B10" s="4">
        <v>486905566</v>
      </c>
      <c r="C10" s="4">
        <v>491234403</v>
      </c>
      <c r="D10" s="4">
        <v>513363239</v>
      </c>
      <c r="E10" s="4">
        <v>535829076</v>
      </c>
      <c r="F10" s="5">
        <v>16</v>
      </c>
    </row>
    <row r="12" spans="1:6" x14ac:dyDescent="0.25">
      <c r="A12" s="16" t="s">
        <v>19</v>
      </c>
      <c r="B12" s="16"/>
      <c r="C12" s="16"/>
      <c r="D12" s="16"/>
      <c r="E12" s="16"/>
    </row>
    <row r="13" spans="1:6" x14ac:dyDescent="0.25">
      <c r="A13" s="1" t="s">
        <v>0</v>
      </c>
      <c r="B13" s="8" t="s">
        <v>1</v>
      </c>
      <c r="C13" s="8" t="s">
        <v>2</v>
      </c>
      <c r="D13" s="8" t="s">
        <v>3</v>
      </c>
      <c r="E13" s="8" t="s">
        <v>4</v>
      </c>
    </row>
    <row r="14" spans="1:6" x14ac:dyDescent="0.25">
      <c r="A14" s="2" t="s">
        <v>10</v>
      </c>
      <c r="B14" s="6">
        <f>+B3/F3</f>
        <v>25150822.9375</v>
      </c>
      <c r="C14" s="6">
        <f>+C3/F3</f>
        <v>26348481.125</v>
      </c>
      <c r="D14" s="6">
        <f>+D3/F3</f>
        <v>27546139.375</v>
      </c>
      <c r="E14" s="6">
        <f>+E3/F3</f>
        <v>28743797.625</v>
      </c>
    </row>
    <row r="15" spans="1:6" x14ac:dyDescent="0.25">
      <c r="A15" s="3" t="s">
        <v>11</v>
      </c>
      <c r="B15" s="7">
        <f t="shared" ref="B15:B21" si="0">+B4/F4</f>
        <v>25950638</v>
      </c>
      <c r="C15" s="7">
        <f t="shared" ref="C15:C21" si="1">+C4/F4</f>
        <v>27225701.800000001</v>
      </c>
      <c r="D15" s="7">
        <f t="shared" ref="D15:D21" si="2">+D4/F4</f>
        <v>28463233.666666668</v>
      </c>
      <c r="E15" s="7">
        <f t="shared" ref="E15:E21" si="3">+E4/F4</f>
        <v>29700765.600000001</v>
      </c>
    </row>
    <row r="16" spans="1:6" x14ac:dyDescent="0.25">
      <c r="A16" s="2" t="s">
        <v>12</v>
      </c>
      <c r="B16" s="6">
        <f t="shared" si="0"/>
        <v>23539221.875</v>
      </c>
      <c r="C16" s="6">
        <f t="shared" si="1"/>
        <v>24660137.1875</v>
      </c>
      <c r="D16" s="6">
        <f t="shared" si="2"/>
        <v>25781052.5</v>
      </c>
      <c r="E16" s="6">
        <f t="shared" si="3"/>
        <v>26901967.875</v>
      </c>
    </row>
    <row r="17" spans="1:5" x14ac:dyDescent="0.25">
      <c r="A17" s="3" t="s">
        <v>13</v>
      </c>
      <c r="B17" s="7">
        <f t="shared" si="0"/>
        <v>26111199.1875</v>
      </c>
      <c r="C17" s="7">
        <f t="shared" si="1"/>
        <v>27354589.625</v>
      </c>
      <c r="D17" s="7">
        <f t="shared" si="2"/>
        <v>28597980.0625</v>
      </c>
      <c r="E17" s="7">
        <f t="shared" si="3"/>
        <v>29841370.3125</v>
      </c>
    </row>
    <row r="18" spans="1:5" x14ac:dyDescent="0.25">
      <c r="A18" s="2" t="s">
        <v>14</v>
      </c>
      <c r="B18" s="6">
        <f t="shared" si="0"/>
        <v>23580859.625</v>
      </c>
      <c r="C18" s="6">
        <f t="shared" si="1"/>
        <v>24703757.6875</v>
      </c>
      <c r="D18" s="6">
        <f t="shared" si="2"/>
        <v>25826655.75</v>
      </c>
      <c r="E18" s="6">
        <f t="shared" si="3"/>
        <v>26949553.875</v>
      </c>
    </row>
    <row r="19" spans="1:5" x14ac:dyDescent="0.25">
      <c r="A19" s="3" t="s">
        <v>15</v>
      </c>
      <c r="B19" s="7">
        <f t="shared" si="0"/>
        <v>23670504</v>
      </c>
      <c r="C19" s="7">
        <f t="shared" si="1"/>
        <v>24797670.875</v>
      </c>
      <c r="D19" s="7">
        <f t="shared" si="2"/>
        <v>25924837.75</v>
      </c>
      <c r="E19" s="7">
        <f t="shared" si="3"/>
        <v>27052004.625</v>
      </c>
    </row>
    <row r="20" spans="1:5" x14ac:dyDescent="0.25">
      <c r="A20" s="2" t="s">
        <v>16</v>
      </c>
      <c r="B20" s="6">
        <f t="shared" si="0"/>
        <v>21768902.8125</v>
      </c>
      <c r="C20" s="6">
        <f t="shared" si="1"/>
        <v>22805517.25</v>
      </c>
      <c r="D20" s="6">
        <f t="shared" si="2"/>
        <v>23841944.1875</v>
      </c>
      <c r="E20" s="6">
        <f t="shared" si="3"/>
        <v>24878746.125</v>
      </c>
    </row>
    <row r="21" spans="1:5" x14ac:dyDescent="0.25">
      <c r="A21" s="3" t="s">
        <v>17</v>
      </c>
      <c r="B21" s="7">
        <f t="shared" si="0"/>
        <v>30431597.875</v>
      </c>
      <c r="C21" s="7">
        <f t="shared" si="1"/>
        <v>30702150.1875</v>
      </c>
      <c r="D21" s="7">
        <f t="shared" si="2"/>
        <v>32085202.4375</v>
      </c>
      <c r="E21" s="7">
        <f t="shared" si="3"/>
        <v>33489317.25</v>
      </c>
    </row>
    <row r="23" spans="1:5" x14ac:dyDescent="0.25">
      <c r="A23" s="15" t="s">
        <v>20</v>
      </c>
      <c r="B23" s="15"/>
      <c r="C23" s="15"/>
      <c r="D23" s="15"/>
      <c r="E23" s="15"/>
    </row>
    <row r="24" spans="1:5" x14ac:dyDescent="0.25">
      <c r="A24" t="s">
        <v>0</v>
      </c>
      <c r="B24" s="4" t="s">
        <v>6</v>
      </c>
      <c r="C24" s="4" t="s">
        <v>7</v>
      </c>
      <c r="D24" s="4" t="s">
        <v>8</v>
      </c>
      <c r="E24" s="4" t="s">
        <v>9</v>
      </c>
    </row>
    <row r="25" spans="1:5" x14ac:dyDescent="0.25">
      <c r="A25" t="s">
        <v>10</v>
      </c>
      <c r="B25" s="4">
        <f>+B14*0.5%</f>
        <v>125754.1146875</v>
      </c>
      <c r="C25" s="4">
        <f>+C14*1%</f>
        <v>263484.81125000003</v>
      </c>
      <c r="D25" s="4">
        <f>+D14*1.5%</f>
        <v>413192.09062500001</v>
      </c>
      <c r="E25" s="4">
        <f>+E14*2%</f>
        <v>574875.95250000001</v>
      </c>
    </row>
    <row r="26" spans="1:5" x14ac:dyDescent="0.25">
      <c r="A26" t="s">
        <v>11</v>
      </c>
      <c r="B26" s="4">
        <f t="shared" ref="B26:B32" si="4">+B15*0.5%</f>
        <v>129753.19</v>
      </c>
      <c r="C26" s="4">
        <f t="shared" ref="C26:C32" si="5">+C15*1%</f>
        <v>272257.01800000004</v>
      </c>
      <c r="D26" s="4">
        <f t="shared" ref="D26:D32" si="6">+D15*1.5%</f>
        <v>426948.505</v>
      </c>
      <c r="E26" s="4">
        <f t="shared" ref="E26:E32" si="7">+E15*2%</f>
        <v>594015.31200000003</v>
      </c>
    </row>
    <row r="27" spans="1:5" x14ac:dyDescent="0.25">
      <c r="A27" t="s">
        <v>12</v>
      </c>
      <c r="B27" s="4">
        <f t="shared" si="4"/>
        <v>117696.109375</v>
      </c>
      <c r="C27" s="4">
        <f t="shared" si="5"/>
        <v>246601.37187500001</v>
      </c>
      <c r="D27" s="4">
        <f t="shared" si="6"/>
        <v>386715.78749999998</v>
      </c>
      <c r="E27" s="4">
        <f t="shared" si="7"/>
        <v>538039.35750000004</v>
      </c>
    </row>
    <row r="28" spans="1:5" x14ac:dyDescent="0.25">
      <c r="A28" t="s">
        <v>13</v>
      </c>
      <c r="B28" s="4">
        <f t="shared" si="4"/>
        <v>130555.9959375</v>
      </c>
      <c r="C28" s="4">
        <f t="shared" si="5"/>
        <v>273545.89624999999</v>
      </c>
      <c r="D28" s="4">
        <f t="shared" si="6"/>
        <v>428969.70093749999</v>
      </c>
      <c r="E28" s="4">
        <f t="shared" si="7"/>
        <v>596827.40625</v>
      </c>
    </row>
    <row r="29" spans="1:5" x14ac:dyDescent="0.25">
      <c r="A29" t="s">
        <v>14</v>
      </c>
      <c r="B29" s="4">
        <f t="shared" si="4"/>
        <v>117904.298125</v>
      </c>
      <c r="C29" s="4">
        <f t="shared" si="5"/>
        <v>247037.576875</v>
      </c>
      <c r="D29" s="4">
        <f t="shared" si="6"/>
        <v>387399.83624999999</v>
      </c>
      <c r="E29" s="4">
        <f t="shared" si="7"/>
        <v>538991.07750000001</v>
      </c>
    </row>
    <row r="30" spans="1:5" x14ac:dyDescent="0.25">
      <c r="A30" t="s">
        <v>15</v>
      </c>
      <c r="B30" s="4">
        <f t="shared" si="4"/>
        <v>118352.52</v>
      </c>
      <c r="C30" s="4">
        <f t="shared" si="5"/>
        <v>247976.70874999999</v>
      </c>
      <c r="D30" s="4">
        <f t="shared" si="6"/>
        <v>388872.56624999997</v>
      </c>
      <c r="E30" s="4">
        <f t="shared" si="7"/>
        <v>541040.09250000003</v>
      </c>
    </row>
    <row r="31" spans="1:5" x14ac:dyDescent="0.25">
      <c r="A31" t="s">
        <v>16</v>
      </c>
      <c r="B31" s="4">
        <f t="shared" si="4"/>
        <v>108844.51406250001</v>
      </c>
      <c r="C31" s="4">
        <f t="shared" si="5"/>
        <v>228055.17250000002</v>
      </c>
      <c r="D31" s="4">
        <f t="shared" si="6"/>
        <v>357629.16281249997</v>
      </c>
      <c r="E31" s="4">
        <f t="shared" si="7"/>
        <v>497574.92249999999</v>
      </c>
    </row>
    <row r="32" spans="1:5" x14ac:dyDescent="0.25">
      <c r="A32" t="s">
        <v>17</v>
      </c>
      <c r="B32" s="4">
        <f t="shared" si="4"/>
        <v>152157.989375</v>
      </c>
      <c r="C32" s="4">
        <f t="shared" si="5"/>
        <v>307021.50187500002</v>
      </c>
      <c r="D32" s="4">
        <f t="shared" si="6"/>
        <v>481278.0365625</v>
      </c>
      <c r="E32" s="4">
        <f t="shared" si="7"/>
        <v>669786.34499999997</v>
      </c>
    </row>
    <row r="33" spans="1:5" x14ac:dyDescent="0.25">
      <c r="A33" s="10" t="s">
        <v>22</v>
      </c>
      <c r="B33" s="11">
        <v>5.0000000000000001E-3</v>
      </c>
      <c r="C33" s="12">
        <v>0.01</v>
      </c>
      <c r="D33" s="12">
        <v>1.4999999999999999E-2</v>
      </c>
      <c r="E33" s="13">
        <v>0.02</v>
      </c>
    </row>
    <row r="35" spans="1:5" x14ac:dyDescent="0.25">
      <c r="A35" s="15" t="s">
        <v>21</v>
      </c>
      <c r="B35" s="15"/>
      <c r="C35" s="15"/>
      <c r="D35" s="15"/>
      <c r="E35" s="15"/>
    </row>
    <row r="36" spans="1:5" x14ac:dyDescent="0.25">
      <c r="A36" s="9" t="s">
        <v>29</v>
      </c>
    </row>
    <row r="37" spans="1:5" x14ac:dyDescent="0.25">
      <c r="A37" s="9" t="s">
        <v>24</v>
      </c>
    </row>
    <row r="38" spans="1:5" x14ac:dyDescent="0.25">
      <c r="A38" s="9" t="s">
        <v>25</v>
      </c>
    </row>
    <row r="39" spans="1:5" x14ac:dyDescent="0.25">
      <c r="A39" s="14" t="s">
        <v>23</v>
      </c>
    </row>
    <row r="40" spans="1:5" x14ac:dyDescent="0.25">
      <c r="A40" s="9" t="s">
        <v>26</v>
      </c>
    </row>
    <row r="41" spans="1:5" x14ac:dyDescent="0.25">
      <c r="A41" s="9" t="s">
        <v>27</v>
      </c>
    </row>
    <row r="42" spans="1:5" x14ac:dyDescent="0.25">
      <c r="A42" s="9" t="s">
        <v>28</v>
      </c>
    </row>
  </sheetData>
  <mergeCells count="4">
    <mergeCell ref="A1:F1"/>
    <mergeCell ref="A12:E12"/>
    <mergeCell ref="A23:E23"/>
    <mergeCell ref="A35:E35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Virgian</dc:creator>
  <cp:lastModifiedBy>Vicky Virgian</cp:lastModifiedBy>
  <cp:lastPrinted>2025-05-05T06:28:09Z</cp:lastPrinted>
  <dcterms:created xsi:type="dcterms:W3CDTF">2025-05-05T05:40:29Z</dcterms:created>
  <dcterms:modified xsi:type="dcterms:W3CDTF">2025-06-01T03:30:39Z</dcterms:modified>
</cp:coreProperties>
</file>